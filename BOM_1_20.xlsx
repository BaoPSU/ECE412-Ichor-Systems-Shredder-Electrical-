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C:\Users\fearg\OneDrive\Desktop\WINTER26\CAPSTONE\"/>
    </mc:Choice>
  </mc:AlternateContent>
  <xr:revisionPtr revIDLastSave="0" documentId="13_ncr:1_{2A3023E2-A704-4A03-9882-F1119730FDDF}" xr6:coauthVersionLast="47" xr6:coauthVersionMax="47" xr10:uidLastSave="{00000000-0000-0000-0000-000000000000}"/>
  <bookViews>
    <workbookView xWindow="-105" yWindow="0" windowWidth="19410" windowHeight="20985" tabRatio="500" xr2:uid="{00000000-000D-0000-FFFF-FFFF00000000}"/>
  </bookViews>
  <sheets>
    <sheet name="Bill of Materials" sheetId="1" r:id="rId1"/>
    <sheet name="- Disclaimer -" sheetId="2" r:id="rId2"/>
  </sheets>
  <externalReferences>
    <externalReference r:id="rId3"/>
    <externalReference r:id="rId4"/>
  </externalReferences>
  <definedNames>
    <definedName name="_xlnm.Print_Area" localSheetId="0">'Bill of Materials'!$B$1:$I$23</definedName>
    <definedName name="Priority">'[1]Business Process Flowchart'!#REF!</definedName>
    <definedName name="Status">'[1]Business Process Flowchart'!#REF!</definedName>
    <definedName name="Type">'[2]Towing Invoice'!#REF!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9" i="1" l="1"/>
  <c r="E23" i="1"/>
  <c r="C5" i="1" s="1"/>
  <c r="I19" i="1"/>
  <c r="I20" i="1"/>
  <c r="I21" i="1"/>
  <c r="I22" i="1"/>
  <c r="I10" i="1"/>
  <c r="I11" i="1"/>
  <c r="I12" i="1"/>
  <c r="I13" i="1"/>
  <c r="I14" i="1"/>
  <c r="I15" i="1"/>
  <c r="I16" i="1"/>
  <c r="I17" i="1"/>
  <c r="I18" i="1"/>
  <c r="I23" i="1" l="1"/>
  <c r="C6" i="1" s="1"/>
</calcChain>
</file>

<file path=xl/sharedStrings.xml><?xml version="1.0" encoding="utf-8"?>
<sst xmlns="http://schemas.openxmlformats.org/spreadsheetml/2006/main" count="62" uniqueCount="58">
  <si>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</si>
  <si>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PART NUMBER</t>
  </si>
  <si>
    <t>PART NAME</t>
  </si>
  <si>
    <t>DESCRIPTION</t>
  </si>
  <si>
    <t>UNITS</t>
  </si>
  <si>
    <t>UNIT COST</t>
  </si>
  <si>
    <t>AMOUNT</t>
  </si>
  <si>
    <t>PRODUCT NAME</t>
  </si>
  <si>
    <t>APPROVED BY</t>
  </si>
  <si>
    <t>DATE OF APPROVAL</t>
  </si>
  <si>
    <t>TOTAL COST</t>
  </si>
  <si>
    <t>TOTAL PARTS</t>
  </si>
  <si>
    <t>TOTAL</t>
  </si>
  <si>
    <t>PART COUNT</t>
  </si>
  <si>
    <t>QUANTITY</t>
  </si>
  <si>
    <t>CREATE YOUR BILL OF MATERIALS TEMPLATE IN SMARTSHEET</t>
  </si>
  <si>
    <t>Shreddar</t>
  </si>
  <si>
    <t>EE TEAM</t>
  </si>
  <si>
    <t>Fearghus Tyler</t>
  </si>
  <si>
    <t>Bao</t>
  </si>
  <si>
    <t>Yacoub</t>
  </si>
  <si>
    <t>Fox</t>
  </si>
  <si>
    <t>Motor</t>
  </si>
  <si>
    <t>VFD</t>
  </si>
  <si>
    <t>Contactor</t>
  </si>
  <si>
    <t>Push Button</t>
  </si>
  <si>
    <t xml:space="preserve">Huanyang 3HP VFD </t>
  </si>
  <si>
    <t>Baldur 3HP 1750RPM 10A</t>
  </si>
  <si>
    <t>Wire</t>
  </si>
  <si>
    <t>PLC RACK + MODULES</t>
  </si>
  <si>
    <t>Din Rail</t>
  </si>
  <si>
    <t>HMI</t>
  </si>
  <si>
    <t>EA1-T4CL</t>
  </si>
  <si>
    <t>Automation direct C-more micro graphic TFT touch screen HMI panel</t>
  </si>
  <si>
    <t>EA1-T4CL, H2-DM1E, 2-08ND3, F2-04RTD,
F2-08AD-1,
D2-08TD2,
F2-02DA-1,
and 3 D2-FILL</t>
  </si>
  <si>
    <t>Various, Assorted</t>
  </si>
  <si>
    <t>Various, Assorted. 12AWG, 10AWG as needed</t>
  </si>
  <si>
    <t>As needed</t>
  </si>
  <si>
    <t xml:space="preserve">PLC Rack with modules attached for date in, data out and system monitoring. </t>
  </si>
  <si>
    <t>Circuit Breaker</t>
  </si>
  <si>
    <t>Power Switch</t>
  </si>
  <si>
    <t>LINK</t>
  </si>
  <si>
    <t>https://www.ebay.com/itm/116786579409?_skw=SC-E05PG-24VDC&amp;itmmeta=01KFFGK3QKDHHW4RGZWMA26Z9T&amp;hash=item1b3105c7d1:g:38gAAeSwpkFozK6S&amp;itmprp=enc%3AAQALAAAA8O7PUuNWmJ%2B%2BUShgI9tQz%2Fpy5NzwOiRTUXhGl9eeq4ZGiTgjrq8tj2acwJJSop86CT%2FwyTOEpIcXsrmRpAteSbaUh5jDtCM1NO6bmXsssttyd--kGOxOVgH4dRLFRM30KuJHJmRuouk%2FqRuO6S2t009md12R7Al3m%2BlLh6%2Fiy7NT11GuwqQtNTvgKHO%2FSxVU2cjEaMTPF3Xl%2BMpb%2BeND5I3yWKmr8l9Hgk52lx4tdqITWVJcpx1KxaM7w%2B88fF7L0s1FbwTB%2FHJ7Lv3vZTXplQL%2FzLwiMBhBTjUYJMfVV2Fbjrmk37q%2FVHOHQDz%2BtAbXLg%3D%3D%7Ctkp%3ABk9SR4q8zPD7Zg</t>
  </si>
  <si>
    <t>https://portland.craigslist.org/mlt/mat/d/portland-motor-motors-phase/7892976238.html</t>
  </si>
  <si>
    <t>https://www.amazon.com/Huanyang-1-Phase-Variable-Frequency-Output-3hp/dp/B0DMF3GB38/ref=ast_sto_dp_puis?th=1</t>
  </si>
  <si>
    <t>Primary contactor rated for over 3HP</t>
  </si>
  <si>
    <t>https://www.ebay.com/itm/256889890703</t>
  </si>
  <si>
    <t>https://powertecproducts.com/71008-single-phase-on-off-switch-120-230v/?setCurrencyId=1&amp;sku=71008&amp;srsltid=AfmBOoqTqXEqmnWxFsgcobhCsy3dcPzfzvlRzR71woNBLFIlCtURFapt31M</t>
  </si>
  <si>
    <t>Fuse</t>
  </si>
  <si>
    <t>30Amp</t>
  </si>
  <si>
    <t>https://www.ebay.com/itm/193359270352?_trksid=p4375194.c102726.m162918</t>
  </si>
  <si>
    <t>Rated for the appropriate inrush current (25Amp)</t>
  </si>
  <si>
    <t>NBE7</t>
  </si>
  <si>
    <t>FUJI SC-E05P/G</t>
  </si>
  <si>
    <t>‎HY02D211B-T</t>
  </si>
  <si>
    <t>TBD</t>
  </si>
  <si>
    <t>Basic On/Off switch</t>
  </si>
  <si>
    <t>https://www.ebay.com/itm/306662618920?_skw=EA1-T4CL&amp;itmmeta=01KFFHPKRB7RPJFFXXP1CYXW9A&amp;hash=item4766843728:g:ePEAAeSwiWBpQq9j&amp;itmprp=enc%3AAQALAAAA4O7PUuNWmJ%2B%2BUShgI9tQz%2FoCT2CtzBvza%2FkUtA2CNxfqvBUdLNDV1yHC0lD%2BoZiGhlFqaXapksgegdfa60EyxZ6OrRHjWvTyzN3e2i2W4jSG4zQcrrBJE0xvxK%2FVd%2BD0BLtx%2FuQiIUU16X6MAk9uHrvNijuJdiCGa%2BzckhXzuA%2BtXV%2BpJpr4Z5lc4RCXh6ti9XehnNrvWfoC2xjFrUeyQOKuKIq41inz%2BGiNdsx1Usxc3zEQOprvKYhF6QAL7RywkKbNyaJVSwk%2BlJEdlOxw%2FzvSp0VK6KvGufzHRofXkTXB%7Ctkp%3ABk9SR6a82vH7Z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</si>
</sst>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F800]dddd\,\ mmmm\ dd\,\ yyyy"/>
  </numFmts>
  <fonts count="16">
    <font>
      <sz val="12"/>
      <color theme="1"/>
      <name val="Calibri"/>
      <family val="2"/>
      <scheme val="minor"/>
    </font>
    <font>
      <u/>
      <sz val="12"/>
      <color theme="10"/>
      <name val="Calibri"/>
      <family val="2"/>
      <charset val="134"/>
      <scheme val="minor"/>
    </font>
    <font>
      <u/>
      <sz val="12"/>
      <color theme="11"/>
      <name val="Calibri"/>
      <family val="2"/>
      <charset val="134"/>
      <scheme val="minor"/>
    </font>
    <font>
      <b/>
      <sz val="10"/>
      <color theme="0"/>
      <name val="Century Gothic"/>
      <family val="1"/>
    </font>
    <font>
      <sz val="12"/>
      <color theme="1"/>
      <name val="Century Gothic"/>
      <family val="2"/>
    </font>
    <font>
      <sz val="11"/>
      <color theme="1"/>
      <name val="Calibri"/>
      <family val="2"/>
      <scheme val="minor"/>
    </font>
    <font>
      <sz val="12"/>
      <color theme="1"/>
      <name val="Arial"/>
      <family val="2"/>
    </font>
    <font>
      <sz val="10"/>
      <color theme="1"/>
      <name val="Century Gothic"/>
      <family val="1"/>
    </font>
    <font>
      <b/>
      <sz val="20"/>
      <color theme="0" tint="-0.499984740745262"/>
      <name val="Century Gothic"/>
      <family val="1"/>
    </font>
    <font>
      <sz val="10"/>
      <color theme="1"/>
      <name val="CenUTRY GOTH"/>
    </font>
    <font>
      <b/>
      <sz val="9"/>
      <color theme="0"/>
      <name val="Century Gothic"/>
      <family val="1"/>
    </font>
    <font>
      <b/>
      <sz val="11"/>
      <color theme="1"/>
      <name val="Century Gothic"/>
      <family val="1"/>
    </font>
    <font>
      <b/>
      <sz val="36"/>
      <color theme="3" tint="0.79998168889431442"/>
      <name val="Century Gothic"/>
      <family val="1"/>
    </font>
    <font>
      <b/>
      <sz val="8"/>
      <color theme="0"/>
      <name val="Century Gothic"/>
      <family val="1"/>
    </font>
    <font>
      <u/>
      <sz val="12"/>
      <color theme="10"/>
      <name val="Calibri"/>
      <family val="2"/>
      <scheme val="minor"/>
    </font>
    <font>
      <b/>
      <sz val="18"/>
      <color theme="0"/>
      <name val="Calibri"/>
      <family val="2"/>
      <scheme val="minor"/>
    </font>
  </fonts>
  <fills count="9">
    <fill>
      <patternFill patternType="none"/>
    </fill>
    <fill>
      <patternFill patternType="gray125"/>
    </fill>
    <fill>
      <patternFill patternType="solid">
        <fgColor theme="3" tint="-0.249977111117893"/>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3"/>
        <bgColor indexed="64"/>
      </patternFill>
    </fill>
    <fill>
      <patternFill patternType="lightUp">
        <fgColor theme="0" tint="-4.9989318521683403E-2"/>
        <bgColor indexed="65"/>
      </patternFill>
    </fill>
    <fill>
      <patternFill patternType="solid">
        <fgColor rgb="FF40B14B"/>
        <bgColor indexed="64"/>
      </patternFill>
    </fill>
  </fills>
  <borders count="7">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xf numFmtId="0" fontId="14" fillId="0" borderId="0" applyNumberFormat="0" applyFill="0" applyBorder="0" applyAlignment="0" applyProtection="0"/>
  </cellStyleXfs>
  <cellXfs count="39">
    <xf numFmtId="0" fontId="0" fillId="0" borderId="0" xfId="0"/>
    <xf numFmtId="0" fontId="4" fillId="0" borderId="0" xfId="0" applyFont="1" applyAlignment="1">
      <alignment vertical="center"/>
    </xf>
    <xf numFmtId="0" fontId="5" fillId="0" borderId="0" xfId="17"/>
    <xf numFmtId="0" fontId="6" fillId="0" borderId="2" xfId="17" applyFont="1" applyBorder="1" applyAlignment="1">
      <alignment horizontal="left" vertical="center" wrapText="1" indent="2"/>
    </xf>
    <xf numFmtId="0" fontId="8" fillId="0" borderId="0" xfId="0" applyFont="1" applyAlignment="1">
      <alignment vertical="center"/>
    </xf>
    <xf numFmtId="0" fontId="7" fillId="0" borderId="1" xfId="0" applyFont="1" applyBorder="1" applyAlignment="1">
      <alignment horizontal="left" vertical="center" indent="1"/>
    </xf>
    <xf numFmtId="44" fontId="7" fillId="5" borderId="1" xfId="0" applyNumberFormat="1" applyFont="1" applyFill="1" applyBorder="1" applyAlignment="1">
      <alignment horizontal="left" vertical="center" indent="1"/>
    </xf>
    <xf numFmtId="0" fontId="9" fillId="0" borderId="0" xfId="0" applyFont="1" applyAlignment="1">
      <alignment horizontal="center" vertical="center"/>
    </xf>
    <xf numFmtId="0" fontId="7" fillId="0" borderId="0" xfId="0" applyFont="1" applyAlignment="1">
      <alignment horizontal="center" vertical="center"/>
    </xf>
    <xf numFmtId="44" fontId="7" fillId="4" borderId="1" xfId="0" applyNumberFormat="1" applyFont="1" applyFill="1" applyBorder="1" applyAlignment="1">
      <alignment horizontal="left" vertical="center" indent="1"/>
    </xf>
    <xf numFmtId="0" fontId="10" fillId="2" borderId="1" xfId="0" applyFont="1" applyFill="1" applyBorder="1" applyAlignment="1">
      <alignment horizontal="center" vertical="center"/>
    </xf>
    <xf numFmtId="164" fontId="7" fillId="0" borderId="1" xfId="0" applyNumberFormat="1" applyFont="1" applyBorder="1" applyAlignment="1">
      <alignment horizontal="left" vertical="center" indent="1"/>
    </xf>
    <xf numFmtId="0" fontId="11" fillId="0" borderId="1" xfId="0" applyFont="1" applyBorder="1" applyAlignment="1">
      <alignment horizontal="left" vertical="center" wrapText="1" indent="1"/>
    </xf>
    <xf numFmtId="0" fontId="7" fillId="0" borderId="1" xfId="0" applyFont="1" applyBorder="1" applyAlignment="1">
      <alignment horizontal="left" vertical="center" wrapText="1" indent="1"/>
    </xf>
    <xf numFmtId="1" fontId="7" fillId="4" borderId="1" xfId="0" applyNumberFormat="1" applyFont="1" applyFill="1" applyBorder="1" applyAlignment="1">
      <alignment horizontal="center" vertical="center"/>
    </xf>
    <xf numFmtId="0" fontId="3" fillId="3" borderId="4" xfId="0" applyFont="1" applyFill="1" applyBorder="1" applyAlignment="1">
      <alignment horizontal="left" vertical="center" wrapText="1" indent="1"/>
    </xf>
    <xf numFmtId="0" fontId="3" fillId="3" borderId="5" xfId="0" applyFont="1" applyFill="1" applyBorder="1" applyAlignment="1">
      <alignment horizontal="left" vertical="center" wrapText="1" indent="1"/>
    </xf>
    <xf numFmtId="0" fontId="3" fillId="3" borderId="6" xfId="0" applyFont="1" applyFill="1" applyBorder="1" applyAlignment="1">
      <alignment horizontal="right" vertical="center" wrapText="1" indent="1"/>
    </xf>
    <xf numFmtId="1" fontId="7" fillId="4" borderId="5" xfId="0" applyNumberFormat="1" applyFont="1" applyFill="1" applyBorder="1" applyAlignment="1">
      <alignment horizontal="center" vertical="center"/>
    </xf>
    <xf numFmtId="1" fontId="3" fillId="3" borderId="4" xfId="0" applyNumberFormat="1" applyFont="1" applyFill="1" applyBorder="1" applyAlignment="1">
      <alignment horizontal="center" vertical="center"/>
    </xf>
    <xf numFmtId="0" fontId="3" fillId="3" borderId="5" xfId="0" applyFont="1" applyFill="1" applyBorder="1" applyAlignment="1">
      <alignment horizontal="left" vertical="center" indent="1"/>
    </xf>
    <xf numFmtId="44" fontId="3" fillId="3" borderId="6" xfId="0" applyNumberFormat="1" applyFont="1" applyFill="1" applyBorder="1" applyAlignment="1">
      <alignment horizontal="right" vertical="center" indent="1"/>
    </xf>
    <xf numFmtId="44" fontId="7" fillId="0" borderId="6" xfId="0" applyNumberFormat="1" applyFont="1" applyBorder="1" applyAlignment="1">
      <alignment horizontal="left" vertical="center" indent="1"/>
    </xf>
    <xf numFmtId="0" fontId="7" fillId="0" borderId="3" xfId="0" applyFont="1" applyBorder="1" applyAlignment="1">
      <alignment horizontal="left" vertical="center" wrapText="1" indent="1"/>
    </xf>
    <xf numFmtId="1" fontId="7" fillId="4" borderId="3" xfId="0" applyNumberFormat="1" applyFont="1" applyFill="1" applyBorder="1" applyAlignment="1">
      <alignment horizontal="center" vertical="center"/>
    </xf>
    <xf numFmtId="0" fontId="7" fillId="0" borderId="3" xfId="0" applyFont="1" applyBorder="1" applyAlignment="1">
      <alignment horizontal="left" vertical="center" indent="1"/>
    </xf>
    <xf numFmtId="44" fontId="7" fillId="4" borderId="3" xfId="0" applyNumberFormat="1" applyFont="1" applyFill="1" applyBorder="1" applyAlignment="1">
      <alignment horizontal="left" vertical="center" indent="1"/>
    </xf>
    <xf numFmtId="44" fontId="7" fillId="5" borderId="3" xfId="0" applyNumberFormat="1" applyFont="1" applyFill="1" applyBorder="1" applyAlignment="1">
      <alignment horizontal="left" vertical="center" indent="1"/>
    </xf>
    <xf numFmtId="1" fontId="7" fillId="5" borderId="1" xfId="0" applyNumberFormat="1" applyFont="1" applyFill="1" applyBorder="1" applyAlignment="1">
      <alignment horizontal="right" vertical="center" indent="1"/>
    </xf>
    <xf numFmtId="44" fontId="7" fillId="5" borderId="1" xfId="0" applyNumberFormat="1" applyFont="1" applyFill="1" applyBorder="1" applyAlignment="1">
      <alignment horizontal="right" vertical="center" indent="1"/>
    </xf>
    <xf numFmtId="0" fontId="7" fillId="4" borderId="1" xfId="0" applyFont="1" applyFill="1" applyBorder="1" applyAlignment="1">
      <alignment horizontal="left" vertical="center" indent="1"/>
    </xf>
    <xf numFmtId="0" fontId="13" fillId="2" borderId="1" xfId="0" applyFont="1" applyFill="1" applyBorder="1" applyAlignment="1">
      <alignment horizontal="right" vertical="center" indent="1"/>
    </xf>
    <xf numFmtId="0" fontId="13" fillId="6" borderId="1" xfId="0" applyFont="1" applyFill="1" applyBorder="1" applyAlignment="1">
      <alignment horizontal="right" vertical="center" indent="1"/>
    </xf>
    <xf numFmtId="0" fontId="13" fillId="3" borderId="1" xfId="0" applyFont="1" applyFill="1" applyBorder="1" applyAlignment="1">
      <alignment horizontal="right" vertical="center" indent="1"/>
    </xf>
    <xf numFmtId="0" fontId="13"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2" fillId="7" borderId="0" xfId="0" applyFont="1" applyFill="1" applyAlignment="1">
      <alignment horizontal="center" vertical="center" wrapText="1"/>
    </xf>
    <xf numFmtId="0" fontId="15" fillId="8" borderId="0" xfId="18" applyFont="1" applyFill="1" applyAlignment="1">
      <alignment horizontal="center" vertical="center"/>
    </xf>
    <xf numFmtId="0" fontId="14" fillId="0" borderId="1" xfId="18" applyBorder="1" applyAlignment="1">
      <alignment horizontal="left" vertical="center" indent="1"/>
    </xf>
  </cellXfs>
  <cellStyles count="1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5" builtinId="9" hidden="1"/>
    <cellStyle name="Followed Hyperlink" xfId="1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8" builtinId="8"/>
    <cellStyle name="Normal" xfId="0" builtinId="0"/>
    <cellStyle name="Normal 2" xfId="17" xr:uid="{00000000-0005-0000-0000-000000000000}"/>
  </cellStyles>
  <dxfs count="0"/>
  <tableStyles count="0" defaultTableStyle="TableStyleMedium9" defaultPivotStyle="PivotStyleMedium4"/>
  <colors>
    <mruColors>
      <color rgb="FF40B1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C-Business-Process-Flowchart-Template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Towing-Invoice-Templat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Process Flowchart"/>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ing Invoice"/>
      <sheetName val="- Disclaimer -"/>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amazon.com/Huanyang-1-Phase-Variable-Frequency-Output-3hp/dp/B0DMF3GB38/ref=ast_sto_dp_puis?th=1" TargetMode="External"/><Relationship Id="rId7" Type="http://schemas.openxmlformats.org/officeDocument/2006/relationships/hyperlink" Target="https://www.ebay.com/itm/306662618920?_skw=EA1-T4CL&amp;itmmeta=01KFFHPKRB7RPJFFXXP1CYXW9A&amp;hash=item4766843728:g:ePEAAeSwiWBpQq9j&amp;itmprp=enc%3AAQALAAAA4O7PUuNWmJ%2B%2BUShgI9tQz%2FoCT2CtzBvza%2FkUtA2CNxfqvBUdLNDV1yHC0lD%2BoZiGhlFqaXapksgegdfa60EyxZ6OrRHjWvTyzN3e2i2W4jSG4zQcrrBJE0xvxK%2FVd%2BD0BLtx%2FuQiIUU16X6MAk9uHrvNijuJdiCGa%2BzckhXzuA%2BtXV%2BpJpr4Z5lc4RCXh6ti9XehnNrvWfoC2xjFrUeyQOKuKIq41inz%2BGiNdsx1Usxc3zEQOprvKYhF6QAL7RywkKbNyaJVSwk%2BlJEdlOxw%2FzvSp0VK6KvGufzHRofXkTXB%7Ctkp%3ABk9SR6a82vH7Zg" TargetMode="External"/><Relationship Id="rId2" Type="http://schemas.openxmlformats.org/officeDocument/2006/relationships/hyperlink" Target="https://portland.craigslist.org/mlt/mat/d/portland-motor-motors-phase/7892976238.html" TargetMode="External"/><Relationship Id="rId1" Type="http://schemas.openxmlformats.org/officeDocument/2006/relationships/hyperlink" Target="https://goo.gl/cTwMSE" TargetMode="External"/><Relationship Id="rId6" Type="http://schemas.openxmlformats.org/officeDocument/2006/relationships/hyperlink" Target="https://www.ebay.com/itm/193359270352?_trksid=p4375194.c102726.m162918" TargetMode="External"/><Relationship Id="rId5" Type="http://schemas.openxmlformats.org/officeDocument/2006/relationships/hyperlink" Target="https://powertecproducts.com/71008-single-phase-on-off-switch-120-230v/?setCurrencyId=1&amp;sku=71008&amp;srsltid=AfmBOoqTqXEqmnWxFsgcobhCsy3dcPzfzvlRzR71woNBLFIlCtURFapt31M" TargetMode="External"/><Relationship Id="rId4" Type="http://schemas.openxmlformats.org/officeDocument/2006/relationships/hyperlink" Target="https://www.ebay.com/itm/2568898907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B1:J26"/>
  <sheetViews>
    <sheetView showGridLines="0" tabSelected="1" zoomScaleNormal="100" zoomScalePageLayoutView="75" workbookViewId="0">
      <pane ySplit="1" topLeftCell="A6" activePane="bottomLeft" state="frozen"/>
      <selection pane="bottomLeft" activeCell="G12" sqref="G12"/>
    </sheetView>
  </sheetViews>
  <sheetFormatPr defaultColWidth="11" defaultRowHeight="15.75"/>
  <cols>
    <col min="1" max="1" width="3.375" customWidth="1"/>
    <col min="2" max="2" width="15.625" customWidth="1"/>
    <col min="3" max="3" width="25" customWidth="1"/>
    <col min="4" max="4" width="38.5" customWidth="1"/>
    <col min="5" max="6" width="10.875" customWidth="1"/>
    <col min="7" max="7" width="28.625" customWidth="1"/>
    <col min="8" max="8" width="12.875" customWidth="1"/>
    <col min="9" max="9" width="15.875" customWidth="1"/>
    <col min="10" max="10" width="3.375" customWidth="1"/>
  </cols>
  <sheetData>
    <row r="1" spans="2:10" ht="50.45" customHeight="1">
      <c r="B1" s="4"/>
      <c r="C1" s="1"/>
      <c r="D1" s="1"/>
      <c r="E1" s="1"/>
      <c r="F1" s="1"/>
      <c r="G1" s="1"/>
      <c r="H1" s="1"/>
      <c r="I1" s="1"/>
    </row>
    <row r="2" spans="2:10" ht="30" customHeight="1">
      <c r="B2" s="31" t="s">
        <v>7</v>
      </c>
      <c r="C2" s="12" t="s">
        <v>16</v>
      </c>
      <c r="D2" s="34" t="s">
        <v>17</v>
      </c>
      <c r="E2" s="8"/>
      <c r="F2" s="36"/>
      <c r="G2" s="36"/>
      <c r="H2" s="36"/>
      <c r="I2" s="36"/>
      <c r="J2" s="7"/>
    </row>
    <row r="3" spans="2:10" ht="30" customHeight="1">
      <c r="B3" s="32" t="s">
        <v>8</v>
      </c>
      <c r="C3" s="5"/>
      <c r="D3" s="30" t="s">
        <v>18</v>
      </c>
      <c r="E3" s="8"/>
      <c r="F3" s="36"/>
      <c r="G3" s="36"/>
      <c r="H3" s="36"/>
      <c r="I3" s="36"/>
      <c r="J3" s="7"/>
    </row>
    <row r="4" spans="2:10" ht="30" customHeight="1">
      <c r="B4" s="32" t="s">
        <v>9</v>
      </c>
      <c r="C4" s="11"/>
      <c r="D4" s="30" t="s">
        <v>19</v>
      </c>
      <c r="E4" s="8"/>
      <c r="F4" s="36"/>
      <c r="G4" s="36"/>
      <c r="H4" s="36"/>
      <c r="I4" s="36"/>
      <c r="J4" s="7"/>
    </row>
    <row r="5" spans="2:10" ht="30" customHeight="1">
      <c r="B5" s="33" t="s">
        <v>13</v>
      </c>
      <c r="C5" s="28">
        <f>E23</f>
        <v>15</v>
      </c>
      <c r="D5" s="30" t="s">
        <v>20</v>
      </c>
      <c r="E5" s="8"/>
      <c r="F5" s="36"/>
      <c r="G5" s="36"/>
      <c r="H5" s="36"/>
      <c r="I5" s="36"/>
      <c r="J5" s="7"/>
    </row>
    <row r="6" spans="2:10" ht="30" customHeight="1">
      <c r="B6" s="33" t="s">
        <v>10</v>
      </c>
      <c r="C6" s="29">
        <f>I23</f>
        <v>831</v>
      </c>
      <c r="D6" s="30" t="s">
        <v>21</v>
      </c>
      <c r="E6" s="8"/>
      <c r="F6" s="36"/>
      <c r="G6" s="36"/>
      <c r="H6" s="36"/>
      <c r="I6" s="36"/>
      <c r="J6" s="7"/>
    </row>
    <row r="7" spans="2:10" ht="12" customHeight="1">
      <c r="B7" s="8"/>
      <c r="C7" s="8"/>
      <c r="D7" s="8"/>
      <c r="E7" s="8"/>
      <c r="F7" s="8"/>
      <c r="G7" s="8"/>
      <c r="H7" s="8"/>
      <c r="I7" s="8"/>
      <c r="J7" s="7"/>
    </row>
    <row r="8" spans="2:10" ht="24.95" customHeight="1">
      <c r="B8" s="35" t="s">
        <v>1</v>
      </c>
      <c r="C8" s="10" t="s">
        <v>2</v>
      </c>
      <c r="D8" s="10" t="s">
        <v>3</v>
      </c>
      <c r="E8" s="10" t="s">
        <v>14</v>
      </c>
      <c r="F8" s="10" t="s">
        <v>4</v>
      </c>
      <c r="G8" s="10" t="s">
        <v>41</v>
      </c>
      <c r="H8" s="10" t="s">
        <v>5</v>
      </c>
      <c r="I8" s="10" t="s">
        <v>6</v>
      </c>
    </row>
    <row r="9" spans="2:10" ht="75" customHeight="1">
      <c r="B9" s="13" t="s">
        <v>55</v>
      </c>
      <c r="C9" s="13" t="s">
        <v>22</v>
      </c>
      <c r="D9" s="13" t="s">
        <v>27</v>
      </c>
      <c r="E9" s="14">
        <v>1</v>
      </c>
      <c r="F9" s="14"/>
      <c r="G9" s="38" t="s">
        <v>43</v>
      </c>
      <c r="H9" s="9">
        <v>100</v>
      </c>
      <c r="I9" s="6">
        <f>E9*H9</f>
        <v>100</v>
      </c>
    </row>
    <row r="10" spans="2:10" ht="75" customHeight="1">
      <c r="B10" s="13" t="s">
        <v>54</v>
      </c>
      <c r="C10" s="13" t="s">
        <v>23</v>
      </c>
      <c r="D10" s="13" t="s">
        <v>26</v>
      </c>
      <c r="E10" s="14">
        <v>1</v>
      </c>
      <c r="F10" s="14"/>
      <c r="G10" s="38" t="s">
        <v>44</v>
      </c>
      <c r="H10" s="9">
        <v>200</v>
      </c>
      <c r="I10" s="6">
        <f t="shared" ref="I10:I22" si="0">E10*H10</f>
        <v>200</v>
      </c>
    </row>
    <row r="11" spans="2:10" ht="75" customHeight="1">
      <c r="B11" s="13" t="s">
        <v>53</v>
      </c>
      <c r="C11" s="13" t="s">
        <v>24</v>
      </c>
      <c r="D11" s="13" t="s">
        <v>45</v>
      </c>
      <c r="E11" s="14">
        <v>1</v>
      </c>
      <c r="F11" s="14"/>
      <c r="G11" s="5" t="s">
        <v>42</v>
      </c>
      <c r="H11" s="9">
        <v>35</v>
      </c>
      <c r="I11" s="6">
        <f t="shared" si="0"/>
        <v>35</v>
      </c>
    </row>
    <row r="12" spans="2:10" ht="75" customHeight="1">
      <c r="B12" s="13" t="s">
        <v>55</v>
      </c>
      <c r="C12" s="13" t="s">
        <v>25</v>
      </c>
      <c r="D12" s="13" t="s">
        <v>35</v>
      </c>
      <c r="E12" s="14">
        <v>2</v>
      </c>
      <c r="F12" s="14"/>
      <c r="G12" s="5"/>
      <c r="H12" s="9">
        <v>0</v>
      </c>
      <c r="I12" s="6">
        <f t="shared" si="0"/>
        <v>0</v>
      </c>
    </row>
    <row r="13" spans="2:10" ht="75" customHeight="1">
      <c r="B13" s="13" t="s">
        <v>55</v>
      </c>
      <c r="C13" s="13" t="s">
        <v>28</v>
      </c>
      <c r="D13" s="13" t="s">
        <v>36</v>
      </c>
      <c r="E13" s="14">
        <v>2</v>
      </c>
      <c r="F13" s="14"/>
      <c r="G13" s="5"/>
      <c r="H13" s="9">
        <v>0</v>
      </c>
      <c r="I13" s="6">
        <f t="shared" si="0"/>
        <v>0</v>
      </c>
    </row>
    <row r="14" spans="2:10" ht="75" customHeight="1">
      <c r="B14" s="13" t="s">
        <v>34</v>
      </c>
      <c r="C14" s="13" t="s">
        <v>29</v>
      </c>
      <c r="D14" s="13" t="s">
        <v>38</v>
      </c>
      <c r="E14" s="14">
        <v>1</v>
      </c>
      <c r="F14" s="14"/>
      <c r="G14" s="38" t="s">
        <v>46</v>
      </c>
      <c r="H14" s="9">
        <v>340</v>
      </c>
      <c r="I14" s="6">
        <f t="shared" si="0"/>
        <v>340</v>
      </c>
    </row>
    <row r="15" spans="2:10" ht="75" customHeight="1">
      <c r="B15" s="13" t="s">
        <v>55</v>
      </c>
      <c r="C15" s="13" t="s">
        <v>30</v>
      </c>
      <c r="D15" s="13" t="s">
        <v>37</v>
      </c>
      <c r="E15" s="14">
        <v>2</v>
      </c>
      <c r="F15" s="14"/>
      <c r="G15" s="5"/>
      <c r="H15" s="9">
        <v>0</v>
      </c>
      <c r="I15" s="6">
        <f t="shared" si="0"/>
        <v>0</v>
      </c>
    </row>
    <row r="16" spans="2:10" ht="123.75" customHeight="1">
      <c r="B16" s="13" t="s">
        <v>32</v>
      </c>
      <c r="C16" s="13" t="s">
        <v>31</v>
      </c>
      <c r="D16" s="13" t="s">
        <v>33</v>
      </c>
      <c r="E16" s="14">
        <v>1</v>
      </c>
      <c r="F16" s="14"/>
      <c r="G16" s="38" t="s">
        <v>57</v>
      </c>
      <c r="H16" s="9">
        <v>125</v>
      </c>
      <c r="I16" s="6">
        <f t="shared" si="0"/>
        <v>125</v>
      </c>
    </row>
    <row r="17" spans="2:9" ht="75" customHeight="1">
      <c r="B17" s="13" t="s">
        <v>52</v>
      </c>
      <c r="C17" s="13" t="s">
        <v>39</v>
      </c>
      <c r="D17" s="13" t="s">
        <v>51</v>
      </c>
      <c r="E17" s="14">
        <v>1</v>
      </c>
      <c r="F17" s="14"/>
      <c r="G17" s="38" t="s">
        <v>50</v>
      </c>
      <c r="H17" s="9">
        <v>16</v>
      </c>
      <c r="I17" s="6">
        <f t="shared" si="0"/>
        <v>16</v>
      </c>
    </row>
    <row r="18" spans="2:9" ht="75" customHeight="1">
      <c r="B18" s="13">
        <v>71008</v>
      </c>
      <c r="C18" s="13" t="s">
        <v>40</v>
      </c>
      <c r="D18" s="13" t="s">
        <v>56</v>
      </c>
      <c r="E18" s="14">
        <v>1</v>
      </c>
      <c r="F18" s="14"/>
      <c r="G18" s="38" t="s">
        <v>47</v>
      </c>
      <c r="H18" s="9">
        <v>15</v>
      </c>
      <c r="I18" s="6">
        <f t="shared" si="0"/>
        <v>15</v>
      </c>
    </row>
    <row r="19" spans="2:9" ht="75" customHeight="1">
      <c r="B19" s="13" t="s">
        <v>55</v>
      </c>
      <c r="C19" s="13" t="s">
        <v>48</v>
      </c>
      <c r="D19" s="13" t="s">
        <v>49</v>
      </c>
      <c r="E19" s="14">
        <v>2</v>
      </c>
      <c r="F19" s="14"/>
      <c r="G19" s="5"/>
      <c r="H19" s="9"/>
      <c r="I19" s="6">
        <f>E19*H19</f>
        <v>0</v>
      </c>
    </row>
    <row r="20" spans="2:9" ht="75" customHeight="1">
      <c r="B20" s="13"/>
      <c r="C20" s="13"/>
      <c r="D20" s="13"/>
      <c r="E20" s="14"/>
      <c r="F20" s="14"/>
      <c r="G20" s="5"/>
      <c r="H20" s="9"/>
      <c r="I20" s="6">
        <f t="shared" si="0"/>
        <v>0</v>
      </c>
    </row>
    <row r="21" spans="2:9" ht="75" customHeight="1">
      <c r="B21" s="13"/>
      <c r="C21" s="13"/>
      <c r="D21" s="13"/>
      <c r="E21" s="14"/>
      <c r="F21" s="14"/>
      <c r="G21" s="5"/>
      <c r="H21" s="9"/>
      <c r="I21" s="6">
        <f t="shared" si="0"/>
        <v>0</v>
      </c>
    </row>
    <row r="22" spans="2:9" ht="75" customHeight="1" thickBot="1">
      <c r="B22" s="23"/>
      <c r="C22" s="23"/>
      <c r="D22" s="23"/>
      <c r="E22" s="24"/>
      <c r="F22" s="24"/>
      <c r="G22" s="25"/>
      <c r="H22" s="26"/>
      <c r="I22" s="27">
        <f t="shared" si="0"/>
        <v>0</v>
      </c>
    </row>
    <row r="23" spans="2:9" ht="65.099999999999994" customHeight="1">
      <c r="B23" s="15"/>
      <c r="C23" s="16"/>
      <c r="D23" s="17" t="s">
        <v>11</v>
      </c>
      <c r="E23" s="18">
        <f>SUM(E9:E22)</f>
        <v>15</v>
      </c>
      <c r="F23" s="19"/>
      <c r="G23" s="20"/>
      <c r="H23" s="21" t="s">
        <v>12</v>
      </c>
      <c r="I23" s="22">
        <f>SUM(I9:I22)</f>
        <v>831</v>
      </c>
    </row>
    <row r="25" spans="2:9">
      <c r="B25" s="37" t="s">
        <v>15</v>
      </c>
      <c r="C25" s="37"/>
      <c r="D25" s="37"/>
      <c r="E25" s="37"/>
      <c r="F25" s="37"/>
      <c r="G25" s="37"/>
      <c r="H25" s="37"/>
      <c r="I25" s="37"/>
    </row>
    <row r="26" spans="2:9">
      <c r="B26" s="37"/>
      <c r="C26" s="37"/>
      <c r="D26" s="37"/>
      <c r="E26" s="37"/>
      <c r="F26" s="37"/>
      <c r="G26" s="37"/>
      <c r="H26" s="37"/>
      <c r="I26" s="37"/>
    </row>
  </sheetData>
  <mergeCells count="2">
    <mergeCell ref="F2:I6"/>
    <mergeCell ref="B25:I26"/>
  </mergeCells>
  <hyperlinks>
    <hyperlink ref="B25:I26" r:id="rId1" display="CREATE YOUR BILL OF MATERIALS TEMPLATE IN SMARTSHEET" xr:uid="{00000000-0004-0000-0000-000000000000}"/>
    <hyperlink ref="G9" r:id="rId2" xr:uid="{9C746BC5-6F29-440B-8700-493BEFFBB796}"/>
    <hyperlink ref="G10" r:id="rId3" xr:uid="{5A26046B-3581-4504-9E40-2DE0E37645D6}"/>
    <hyperlink ref="G14" r:id="rId4" xr:uid="{D4F2C95C-A68D-4F9C-8D76-EE4E238CC7FF}"/>
    <hyperlink ref="G18" r:id="rId5" xr:uid="{E87235D7-95FF-41DE-8AD9-B861C7805AA2}"/>
    <hyperlink ref="G17" r:id="rId6" xr:uid="{D4FEB9B5-087D-40F2-BAF9-8B5ED2539F84}"/>
    <hyperlink ref="G16" r:id="rId7" display="https://www.ebay.com/itm/306662618920?_skw=EA1-T4CL&amp;itmmeta=01KFFHPKRB7RPJFFXXP1CYXW9A&amp;hash=item4766843728:g:ePEAAeSwiWBpQq9j&amp;itmprp=enc%3AAQALAAAA4O7PUuNWmJ%2B%2BUShgI9tQz%2FoCT2CtzBvza%2FkUtA2CNxfqvBUdLNDV1yHC0lD%2BoZiGhlFqaXapksgegdfa60EyxZ6OrRHjWvTyzN3e2i2W4jSG4zQcrrBJE0xvxK%2FVd%2BD0BLtx%2FuQiIUU16X6MAk9uHrvNijuJdiCGa%2BzckhXzuA%2BtXV%2BpJpr4Z5lc4RCXh6ti9XehnNrvWfoC2xjFrUeyQOKuKIq41inz%2BGiNdsx1Usxc3zEQOprvKYhF6QAL7RywkKbNyaJVSwk%2BlJEdlOxw%2FzvSp0VK6KvGufzHRofXkTXB%7Ctkp%3ABk9SR6a82vH7Zg" xr:uid="{B0E84B26-B6C3-41BB-B6C8-D3CAE1C92089}"/>
  </hyperlinks>
  <pageMargins left="0.25" right="0.25" top="0.25" bottom="0.25" header="0" footer="0"/>
  <pageSetup scale="60" fitToHeight="0" orientation="portrait" horizontalDpi="4294967292" verticalDpi="4294967292" r:id="rId8"/>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1:B2"/>
  <sheetViews>
    <sheetView showGridLines="0" workbookViewId="0">
      <selection activeCell="W47" sqref="W47"/>
    </sheetView>
  </sheetViews>
  <sheetFormatPr defaultColWidth="10.875" defaultRowHeight="15"/>
  <cols>
    <col min="1" max="1" width="3.375" style="2" customWidth="1"/>
    <col min="2" max="2" width="88.375" style="2" customWidth="1"/>
    <col min="3" max="16384" width="10.875" style="2"/>
  </cols>
  <sheetData>
    <row r="1" spans="2:2" ht="20.100000000000001" customHeight="1"/>
    <row r="2" spans="2:2" ht="105" customHeight="1">
      <c r="B2" s="3" t="s">
        <v>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Bill of Materials</vt:lpstr>
      <vt:lpstr>- Disclaimer -</vt:lpstr>
      <vt:lpstr>'Bill of Materials'!Print_Area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fear ty</cp:lastModifiedBy>
  <dcterms:created xsi:type="dcterms:W3CDTF">2015-07-29T21:33:10Z</dcterms:created>
  <dcterms:modified xsi:type="dcterms:W3CDTF">2026-01-21T05:54:08Z</dcterms:modified>
</cp:coreProperties>
</file>